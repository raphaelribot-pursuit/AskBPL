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ax/Documents/GitHub/AskBPL/packages/orchestrator/sample_corpus/"/>
    </mc:Choice>
  </mc:AlternateContent>
  <xr:revisionPtr revIDLastSave="0" documentId="13_ncr:1_{B7AC1706-041A-3F42-A12F-3AC0B58336D3}" xr6:coauthVersionLast="47" xr6:coauthVersionMax="47" xr10:uidLastSave="{00000000-0000-0000-0000-000000000000}"/>
  <bookViews>
    <workbookView xWindow="0" yWindow="880" windowWidth="29640" windowHeight="23420" tabRatio="500" xr2:uid="{00000000-000D-0000-FFFF-FFFF00000000}"/>
  </bookViews>
  <sheets>
    <sheet name="Source Inventory" sheetId="1" r:id="rId1"/>
    <sheet name="Counts (ING-13)" sheetId="2" r:id="rId2"/>
  </sheets>
  <definedNames>
    <definedName name="_xlnm._FilterDatabase" localSheetId="0" hidden="1">'Source Inventory'!$A$1:$N$31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5" i="2"/>
  <c r="B2" i="2"/>
  <c r="B4" i="2" l="1"/>
  <c r="B3" i="2"/>
</calcChain>
</file>

<file path=xl/sharedStrings.xml><?xml version="1.0" encoding="utf-8"?>
<sst xmlns="http://schemas.openxmlformats.org/spreadsheetml/2006/main" count="308" uniqueCount="147">
  <si>
    <t>Source ID</t>
  </si>
  <si>
    <t>File name</t>
  </si>
  <si>
    <t>Format</t>
  </si>
  <si>
    <t>Pages</t>
  </si>
  <si>
    <t>Chars per page</t>
  </si>
  <si>
    <t>Parse check</t>
  </si>
  <si>
    <t>In current pilot index</t>
  </si>
  <si>
    <t>Source type</t>
  </si>
  <si>
    <t>Lifecycle status (ING-9)</t>
  </si>
  <si>
    <t>Blocking decision</t>
  </si>
  <si>
    <t>Notes (PRD v1.2 s19.3 / 19.4)</t>
  </si>
  <si>
    <t>Owner (D-02)</t>
  </si>
  <si>
    <t>Policy number / dates (from document, to confirm)</t>
  </si>
  <si>
    <t>Reviewer / date</t>
  </si>
  <si>
    <t>SRC-01</t>
  </si>
  <si>
    <t>01 - Emergency Response Procedure (10.02).pdf</t>
  </si>
  <si>
    <t>PDF</t>
  </si>
  <si>
    <t>Pass: text layer present (not yet content-validated)</t>
  </si>
  <si>
    <t>No</t>
  </si>
  <si>
    <t>Procedure</t>
  </si>
  <si>
    <t>Authority pending</t>
  </si>
  <si>
    <t>OD-03; OD-01</t>
  </si>
  <si>
    <t>2002 document. Check escalation steps, phone numbers, applicability, supersession. Never present as current emergency direction (SAF-8).</t>
  </si>
  <si>
    <t>SRC-02</t>
  </si>
  <si>
    <t>01 - Policy for Policy Management.pdf</t>
  </si>
  <si>
    <t>Policy (governance)</t>
  </si>
  <si>
    <t>OD-01</t>
  </si>
  <si>
    <t>April 2026 document describing the BPL approval process. Used to judge authority of other sources (19.2).</t>
  </si>
  <si>
    <t>SRC-03</t>
  </si>
  <si>
    <t>01 - Technology Use (6.13).pdf</t>
  </si>
  <si>
    <t>Yes</t>
  </si>
  <si>
    <t>Policy</t>
  </si>
  <si>
    <t>OD-13; OD-01</t>
  </si>
  <si>
    <t>Number 'IV. Public 1', describes public-computer rules, application line says All Staff. Different document from HR12, not a version of it.</t>
  </si>
  <si>
    <t>SRC-04</t>
  </si>
  <si>
    <t>01 - Use of Personal Vehicles (10.95).pdf</t>
  </si>
  <si>
    <t>1995. Do not repeat an old reimbursement rate as current.</t>
  </si>
  <si>
    <t>SRC-05</t>
  </si>
  <si>
    <t>02 - Materials Selection Policy (04.05) (1).pdf</t>
  </si>
  <si>
    <t>Client test script group 1. Verify applicability and evidence passages.</t>
  </si>
  <si>
    <t>SRC-06</t>
  </si>
  <si>
    <t>02 - Policy on Unattended Children (09.05).pdf</t>
  </si>
  <si>
    <t>Client test script group 2. Verify applicability and evidence passages.</t>
  </si>
  <si>
    <t>SRC-07</t>
  </si>
  <si>
    <t>02a - Emergency System-wide Closing Procedure (STAFF) (10.02).pdf</t>
  </si>
  <si>
    <t>2002 document. Check escalation steps, numbers, applicability, supersession (SAF-8).</t>
  </si>
  <si>
    <t>SRC-08</t>
  </si>
  <si>
    <t>02d - Collection Maintenance Procedures (updated 2026).pdf</t>
  </si>
  <si>
    <t>Updated 2026. Verify applicability and evidence passages. Keep distinct from Materials Selection policy (ING-10).</t>
  </si>
  <si>
    <t>SRC-09</t>
  </si>
  <si>
    <t>03 - Internal Communications Policy and Norms (10.24) (2).pdf</t>
  </si>
  <si>
    <t>2024. Review confidentiality and current process.</t>
  </si>
  <si>
    <t>SRC-10</t>
  </si>
  <si>
    <t>04 - Annual Leave Policy (01.06).pdf</t>
  </si>
  <si>
    <t>Client test script group 3. May apply only to non-union staff (19.4). Never compute current entitlements from outdated text.</t>
  </si>
  <si>
    <t>SRC-11</t>
  </si>
  <si>
    <t>04 - Promotional and Marketing Materials (05.20) (1).pdf</t>
  </si>
  <si>
    <t>Not flagged in 19.3. Confirm status and owner.</t>
  </si>
  <si>
    <t>SRC-12</t>
  </si>
  <si>
    <t>05 - Anti Harassment Policy (Revised 10.18) (1).pdf</t>
  </si>
  <si>
    <t>Check dates, eligibility, labor agreements, legal and HR authority.</t>
  </si>
  <si>
    <t>SRC-13</t>
  </si>
  <si>
    <t>06 - Conflict of Interest (06.14) (1).pdf</t>
  </si>
  <si>
    <t>OD-01; extraction</t>
  </si>
  <si>
    <t>Client test script group 4. PDF pages are scanned images; text layer holds almost nothing. Needs validated extraction or manual verification before any indexing (ING-3, ING-11, GATE-04).</t>
  </si>
  <si>
    <t>SRC-14</t>
  </si>
  <si>
    <t>06 - Fundraising Policy (12.01).pdf</t>
  </si>
  <si>
    <t>Client test script group 5. Verify applicability and evidence passages.</t>
  </si>
  <si>
    <t>SRC-15</t>
  </si>
  <si>
    <t>07 - Media Relations and Publicity Policy (1).pdf</t>
  </si>
  <si>
    <t>SRC-16</t>
  </si>
  <si>
    <t>07 - Volunteer Manual (12.08).pdf</t>
  </si>
  <si>
    <t>Client test script group 6. Verify applicability and evidence passages.</t>
  </si>
  <si>
    <t>SRC-17</t>
  </si>
  <si>
    <t>09 - Dress Code Policy (06.06).pdf</t>
  </si>
  <si>
    <t>SRC-18</t>
  </si>
  <si>
    <t>10 - Whistle Blowers Protection-09.2006 (1).pdf</t>
  </si>
  <si>
    <t>SRC-19</t>
  </si>
  <si>
    <t>11 - Photograhy and Video Policy_Mar2024 (1).pdf</t>
  </si>
  <si>
    <t>2024. Verify applicability and evidence passages.</t>
  </si>
  <si>
    <t>SRC-20</t>
  </si>
  <si>
    <t>11554 CP Update to BPL Rules_deck 0423.pdf</t>
  </si>
  <si>
    <t>Design deck</t>
  </si>
  <si>
    <t>OD-02</t>
  </si>
  <si>
    <t>April 2026 public-rules design deck. Not an approved policy (ING-10, 19.3).</t>
  </si>
  <si>
    <t>SRC-21</t>
  </si>
  <si>
    <t>12 - Custodianship of Library Materials (02.08) (1).pdf</t>
  </si>
  <si>
    <t>2008. Verify applicability and evidence passages.</t>
  </si>
  <si>
    <t>SRC-22</t>
  </si>
  <si>
    <t>12 - Technology Usage Policy (06.06) (1).pdf</t>
  </si>
  <si>
    <t>HR12, issued October 2006; applies to all employees, consultants, contractors, temporaries, vendors. Different document from 'Technology Use' (6.13). Check generic 'Company' wording and system references.</t>
  </si>
  <si>
    <t>SRC-23</t>
  </si>
  <si>
    <t>13 - Crisis Management Policy.pdf</t>
  </si>
  <si>
    <t>2008. Check escalation instructions, numbers, applicability, supersession (SAF-8).</t>
  </si>
  <si>
    <t>SRC-24</t>
  </si>
  <si>
    <t>14 - Progressive Discipline Policy (06.06).pdf</t>
  </si>
  <si>
    <t>Check dates, eligibility, labor agreements, legal and HR authority. No disciplinary decisions (GRD-10).</t>
  </si>
  <si>
    <t>SRC-25</t>
  </si>
  <si>
    <t>15 - Service Rating Manual (07.74).pdf</t>
  </si>
  <si>
    <t>1974 reference. Check current relevance and employee agreement implications.</t>
  </si>
  <si>
    <t>SRC-26</t>
  </si>
  <si>
    <t>25 - Family and Medical Leave Act  (06.06).pdf</t>
  </si>
  <si>
    <t>2006. Check dates, eligibility, legal and HR authority. Never calculate current legal entitlements from it (19.4).</t>
  </si>
  <si>
    <t>SRC-27</t>
  </si>
  <si>
    <t>26 - Social Media Policy (03.22) (1).pdf</t>
  </si>
  <si>
    <t>2022. Review confidentiality and current process.</t>
  </si>
  <si>
    <t>SRC-28</t>
  </si>
  <si>
    <t>Ask_BPL_AI_Policy_Test_Script.docx</t>
  </si>
  <si>
    <t>DOCX</t>
  </si>
  <si>
    <t>Text extracted (Word file)</t>
  </si>
  <si>
    <t>Evaluation material</t>
  </si>
  <si>
    <t>Excluded</t>
  </si>
  <si>
    <t>None (not a policy)</t>
  </si>
  <si>
    <t>The 30-question BPL test script (24 in-scope, 6 boundary). Used for GATE-08; never indexed. Counted separately (19.1).</t>
  </si>
  <si>
    <t>SRC-29</t>
  </si>
  <si>
    <t>Guidelines for Public Behavior Violations.pdf</t>
  </si>
  <si>
    <t>Supporting guidance</t>
  </si>
  <si>
    <t>2025 guidance. Supports, and cannot override, the Public Behavior policy (ING-10).</t>
  </si>
  <si>
    <t>SRC-30</t>
  </si>
  <si>
    <t>Public Behavior in the Library Policy (updated Jan-26).docx</t>
  </si>
  <si>
    <t>Policy (draft indicators)</t>
  </si>
  <si>
    <t>OD-02; OD-01</t>
  </si>
  <si>
    <t>Filename says updated Jan-26; internal text says 'Issued: June 2026 (TBD)'. Resolve before answering public-behavior questions.</t>
  </si>
  <si>
    <t>Measure</t>
  </si>
  <si>
    <t>Count</t>
  </si>
  <si>
    <t>How it is computed</t>
  </si>
  <si>
    <t>Files received</t>
  </si>
  <si>
    <t>All rows (AC-1, GATE-02)</t>
  </si>
  <si>
    <t>Unique by content</t>
  </si>
  <si>
    <t>SHA-256 compared across all 30 files on 2026-10-10; no duplicate content (entered as =B2 because that check was run outside the workbook)</t>
  </si>
  <si>
    <t>BPL documents (excluding test script)</t>
  </si>
  <si>
    <t>Policies, procedures, guidance and deck</t>
  </si>
  <si>
    <t>Eligible (BPL-confirmed current)</t>
  </si>
  <si>
    <t>Zero until BPL confirms authority (OD-01)</t>
  </si>
  <si>
    <t>Includes the extraction-blocked file</t>
  </si>
  <si>
    <t>Extraction blocked (parse check failed)</t>
  </si>
  <si>
    <t>ING-3</t>
  </si>
  <si>
    <t>Excluded from corpus</t>
  </si>
  <si>
    <t>Evaluation script</t>
  </si>
  <si>
    <t>Currently in the pilot index (not confirmed eligible)</t>
  </si>
  <si>
    <t>Byte-identical to the supplied copies; authority still unconfirmed</t>
  </si>
  <si>
    <t>Indexed AND eligible</t>
  </si>
  <si>
    <t>Cannot be claimed yet</t>
  </si>
  <si>
    <t>Documents with a named open decision (OD-02/03/13)</t>
  </si>
  <si>
    <t>Public behavior, emergency/crisis, technology pair</t>
  </si>
  <si>
    <t>Legend: yellow cells on 'Source Inventory' (Owner, Policy number/dates, Reviewer/date) are for Bath Bilissalou / BPL to fill. Every status above is a team disposition, not BPL approval. Parse check only proves text exists; content validation (GATE-04) is still to do.</t>
  </si>
  <si>
    <t>Validated by manual review (Lee Aulder, 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</si>
</sst>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D9D9D9"/>
      </patternFill>
    </fill>
    <fill>
      <patternFill patternType="solid">
        <fgColor rgb="FFD9D9D9"/>
        <b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4" sqref="F14"/>
    </sheetView>
  </sheetViews>
  <sheetFormatPr baseColWidth="10" defaultColWidth="8.6640625" defaultRowHeight="15" x14ac:dyDescent="0.2"/>
  <cols>
    <col min="1" max="1" width="10" customWidth="1"/>
    <col min="2" max="2" width="52" customWidth="1"/>
    <col min="3" max="3" width="8" customWidth="1"/>
    <col min="4" max="4" width="7" customWidth="1"/>
    <col min="5" max="5" width="10" customWidth="1"/>
    <col min="6" max="6" width="34" customWidth="1"/>
    <col min="7" max="7" width="12" customWidth="1"/>
    <col min="8" max="8" width="22" customWidth="1"/>
    <col min="9" max="9" width="30" customWidth="1"/>
    <col min="10" max="10" width="18" customWidth="1"/>
    <col min="11" max="11" width="70" customWidth="1"/>
    <col min="12" max="12" width="14" customWidth="1"/>
    <col min="13" max="13" width="26" customWidth="1"/>
    <col min="14" max="14" width="16" customWidth="1"/>
  </cols>
  <sheetData>
    <row r="1" spans="1:14" ht="51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3.25" customHeight="1" x14ac:dyDescent="0.2">
      <c r="A2" s="3" t="s">
        <v>14</v>
      </c>
      <c r="B2" s="3" t="s">
        <v>15</v>
      </c>
      <c r="C2" s="3" t="s">
        <v>16</v>
      </c>
      <c r="D2" s="3">
        <v>3</v>
      </c>
      <c r="E2" s="3">
        <v>1886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4"/>
      <c r="M2" s="4"/>
      <c r="N2" s="4"/>
    </row>
    <row r="3" spans="1:14" ht="23.25" customHeight="1" x14ac:dyDescent="0.2">
      <c r="A3" s="3" t="s">
        <v>23</v>
      </c>
      <c r="B3" s="3" t="s">
        <v>24</v>
      </c>
      <c r="C3" s="3" t="s">
        <v>16</v>
      </c>
      <c r="D3" s="3">
        <v>2</v>
      </c>
      <c r="E3" s="3">
        <v>2453</v>
      </c>
      <c r="F3" s="3" t="s">
        <v>17</v>
      </c>
      <c r="G3" s="3" t="s">
        <v>18</v>
      </c>
      <c r="H3" s="3" t="s">
        <v>25</v>
      </c>
      <c r="I3" s="3" t="s">
        <v>20</v>
      </c>
      <c r="J3" s="3" t="s">
        <v>26</v>
      </c>
      <c r="K3" s="3" t="s">
        <v>27</v>
      </c>
      <c r="L3" s="4"/>
      <c r="M3" s="4"/>
      <c r="N3" s="4"/>
    </row>
    <row r="4" spans="1:14" ht="23.25" customHeight="1" x14ac:dyDescent="0.2">
      <c r="A4" s="3" t="s">
        <v>28</v>
      </c>
      <c r="B4" s="3" t="s">
        <v>29</v>
      </c>
      <c r="C4" s="3" t="s">
        <v>16</v>
      </c>
      <c r="D4" s="3">
        <v>4</v>
      </c>
      <c r="E4" s="3">
        <v>1967</v>
      </c>
      <c r="F4" s="3" t="s">
        <v>17</v>
      </c>
      <c r="G4" s="3" t="s">
        <v>30</v>
      </c>
      <c r="H4" s="3" t="s">
        <v>31</v>
      </c>
      <c r="I4" s="3" t="s">
        <v>20</v>
      </c>
      <c r="J4" s="3" t="s">
        <v>32</v>
      </c>
      <c r="K4" s="3" t="s">
        <v>33</v>
      </c>
      <c r="L4" s="4"/>
      <c r="M4" s="4"/>
      <c r="N4" s="4"/>
    </row>
    <row r="5" spans="1:14" ht="23.25" customHeight="1" x14ac:dyDescent="0.2">
      <c r="A5" s="3" t="s">
        <v>34</v>
      </c>
      <c r="B5" s="3" t="s">
        <v>35</v>
      </c>
      <c r="C5" s="3" t="s">
        <v>16</v>
      </c>
      <c r="D5" s="3">
        <v>2</v>
      </c>
      <c r="E5" s="3">
        <v>2434</v>
      </c>
      <c r="F5" s="3" t="s">
        <v>17</v>
      </c>
      <c r="G5" s="3" t="s">
        <v>18</v>
      </c>
      <c r="H5" s="3" t="s">
        <v>31</v>
      </c>
      <c r="I5" s="3" t="s">
        <v>20</v>
      </c>
      <c r="J5" s="3" t="s">
        <v>26</v>
      </c>
      <c r="K5" s="3" t="s">
        <v>36</v>
      </c>
      <c r="L5" s="4"/>
      <c r="M5" s="4"/>
      <c r="N5" s="4"/>
    </row>
    <row r="6" spans="1:14" ht="23.25" customHeight="1" x14ac:dyDescent="0.2">
      <c r="A6" s="3" t="s">
        <v>37</v>
      </c>
      <c r="B6" s="3" t="s">
        <v>38</v>
      </c>
      <c r="C6" s="3" t="s">
        <v>16</v>
      </c>
      <c r="D6" s="3">
        <v>5</v>
      </c>
      <c r="E6" s="3">
        <v>2205</v>
      </c>
      <c r="F6" s="3" t="s">
        <v>17</v>
      </c>
      <c r="G6" s="3" t="s">
        <v>30</v>
      </c>
      <c r="H6" s="3" t="s">
        <v>31</v>
      </c>
      <c r="I6" s="3" t="s">
        <v>20</v>
      </c>
      <c r="J6" s="3" t="s">
        <v>26</v>
      </c>
      <c r="K6" s="3" t="s">
        <v>39</v>
      </c>
      <c r="L6" s="4"/>
      <c r="M6" s="4"/>
      <c r="N6" s="4"/>
    </row>
    <row r="7" spans="1:14" ht="23.25" customHeight="1" x14ac:dyDescent="0.2">
      <c r="A7" s="3" t="s">
        <v>40</v>
      </c>
      <c r="B7" s="3" t="s">
        <v>41</v>
      </c>
      <c r="C7" s="3" t="s">
        <v>16</v>
      </c>
      <c r="D7" s="3">
        <v>4</v>
      </c>
      <c r="E7" s="3">
        <v>2172</v>
      </c>
      <c r="F7" s="3" t="s">
        <v>17</v>
      </c>
      <c r="G7" s="3" t="s">
        <v>30</v>
      </c>
      <c r="H7" s="3" t="s">
        <v>31</v>
      </c>
      <c r="I7" s="3" t="s">
        <v>20</v>
      </c>
      <c r="J7" s="3" t="s">
        <v>26</v>
      </c>
      <c r="K7" s="3" t="s">
        <v>42</v>
      </c>
      <c r="L7" s="4"/>
      <c r="M7" s="4"/>
      <c r="N7" s="4"/>
    </row>
    <row r="8" spans="1:14" ht="23.25" customHeight="1" x14ac:dyDescent="0.2">
      <c r="A8" s="3" t="s">
        <v>43</v>
      </c>
      <c r="B8" s="3" t="s">
        <v>44</v>
      </c>
      <c r="C8" s="3" t="s">
        <v>16</v>
      </c>
      <c r="D8" s="3">
        <v>2</v>
      </c>
      <c r="E8" s="3">
        <v>1286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  <c r="K8" s="3" t="s">
        <v>45</v>
      </c>
      <c r="L8" s="4"/>
      <c r="M8" s="4"/>
      <c r="N8" s="4"/>
    </row>
    <row r="9" spans="1:14" ht="23.25" customHeight="1" x14ac:dyDescent="0.2">
      <c r="A9" s="3" t="s">
        <v>46</v>
      </c>
      <c r="B9" s="3" t="s">
        <v>47</v>
      </c>
      <c r="C9" s="3" t="s">
        <v>16</v>
      </c>
      <c r="D9" s="3">
        <v>7</v>
      </c>
      <c r="E9" s="3">
        <v>2045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26</v>
      </c>
      <c r="K9" s="3" t="s">
        <v>48</v>
      </c>
      <c r="L9" s="4"/>
      <c r="M9" s="4"/>
      <c r="N9" s="4"/>
    </row>
    <row r="10" spans="1:14" ht="23.25" customHeight="1" x14ac:dyDescent="0.2">
      <c r="A10" s="3" t="s">
        <v>49</v>
      </c>
      <c r="B10" s="3" t="s">
        <v>50</v>
      </c>
      <c r="C10" s="3" t="s">
        <v>16</v>
      </c>
      <c r="D10" s="3">
        <v>8</v>
      </c>
      <c r="E10" s="3">
        <v>1512</v>
      </c>
      <c r="F10" s="3" t="s">
        <v>17</v>
      </c>
      <c r="G10" s="3" t="s">
        <v>18</v>
      </c>
      <c r="H10" s="3" t="s">
        <v>31</v>
      </c>
      <c r="I10" s="3" t="s">
        <v>20</v>
      </c>
      <c r="J10" s="3" t="s">
        <v>26</v>
      </c>
      <c r="K10" s="3" t="s">
        <v>51</v>
      </c>
      <c r="L10" s="4"/>
      <c r="M10" s="4"/>
      <c r="N10" s="4"/>
    </row>
    <row r="11" spans="1:14" ht="23.25" customHeight="1" x14ac:dyDescent="0.2">
      <c r="A11" s="3" t="s">
        <v>52</v>
      </c>
      <c r="B11" s="3" t="s">
        <v>53</v>
      </c>
      <c r="C11" s="3" t="s">
        <v>16</v>
      </c>
      <c r="D11" s="3">
        <v>3</v>
      </c>
      <c r="E11" s="3">
        <v>1845</v>
      </c>
      <c r="F11" s="3" t="s">
        <v>17</v>
      </c>
      <c r="G11" s="3" t="s">
        <v>30</v>
      </c>
      <c r="H11" s="3" t="s">
        <v>31</v>
      </c>
      <c r="I11" s="3" t="s">
        <v>20</v>
      </c>
      <c r="J11" s="3" t="s">
        <v>26</v>
      </c>
      <c r="K11" s="3" t="s">
        <v>54</v>
      </c>
      <c r="L11" s="4"/>
      <c r="M11" s="4"/>
      <c r="N11" s="4"/>
    </row>
    <row r="12" spans="1:14" ht="23.25" customHeight="1" x14ac:dyDescent="0.2">
      <c r="A12" s="3" t="s">
        <v>55</v>
      </c>
      <c r="B12" s="3" t="s">
        <v>56</v>
      </c>
      <c r="C12" s="3" t="s">
        <v>16</v>
      </c>
      <c r="D12" s="3">
        <v>6</v>
      </c>
      <c r="E12" s="3">
        <v>1579</v>
      </c>
      <c r="F12" s="3" t="s">
        <v>17</v>
      </c>
      <c r="G12" s="3" t="s">
        <v>18</v>
      </c>
      <c r="H12" s="3" t="s">
        <v>31</v>
      </c>
      <c r="I12" s="3" t="s">
        <v>20</v>
      </c>
      <c r="J12" s="3" t="s">
        <v>26</v>
      </c>
      <c r="K12" s="3" t="s">
        <v>57</v>
      </c>
      <c r="L12" s="4"/>
      <c r="M12" s="4"/>
      <c r="N12" s="4"/>
    </row>
    <row r="13" spans="1:14" ht="23.25" customHeight="1" x14ac:dyDescent="0.2">
      <c r="A13" s="3" t="s">
        <v>58</v>
      </c>
      <c r="B13" s="3" t="s">
        <v>59</v>
      </c>
      <c r="C13" s="3" t="s">
        <v>16</v>
      </c>
      <c r="D13" s="3">
        <v>7</v>
      </c>
      <c r="E13" s="3">
        <v>2299</v>
      </c>
      <c r="F13" s="3" t="s">
        <v>17</v>
      </c>
      <c r="G13" s="3" t="s">
        <v>18</v>
      </c>
      <c r="H13" s="3" t="s">
        <v>31</v>
      </c>
      <c r="I13" s="3" t="s">
        <v>20</v>
      </c>
      <c r="J13" s="3" t="s">
        <v>26</v>
      </c>
      <c r="K13" s="3" t="s">
        <v>60</v>
      </c>
      <c r="L13" s="4"/>
      <c r="M13" s="4"/>
      <c r="N13" s="4"/>
    </row>
    <row r="14" spans="1:14" ht="34.5" customHeight="1" x14ac:dyDescent="0.2">
      <c r="A14" s="3" t="s">
        <v>61</v>
      </c>
      <c r="B14" s="3" t="s">
        <v>62</v>
      </c>
      <c r="C14" s="3" t="s">
        <v>16</v>
      </c>
      <c r="D14" s="3">
        <v>10</v>
      </c>
      <c r="E14" s="3">
        <v>248</v>
      </c>
      <c r="F14" s="9" t="s">
        <v>146</v>
      </c>
      <c r="G14" s="3" t="s">
        <v>30</v>
      </c>
      <c r="H14" s="3" t="s">
        <v>31</v>
      </c>
      <c r="I14" s="8" t="s">
        <v>20</v>
      </c>
      <c r="J14" s="3" t="s">
        <v>63</v>
      </c>
      <c r="K14" s="3" t="s">
        <v>64</v>
      </c>
      <c r="L14" s="4"/>
      <c r="M14" s="4"/>
      <c r="N14" s="4"/>
    </row>
    <row r="15" spans="1:14" ht="23.25" customHeight="1" x14ac:dyDescent="0.2">
      <c r="A15" s="3" t="s">
        <v>65</v>
      </c>
      <c r="B15" s="3" t="s">
        <v>66</v>
      </c>
      <c r="C15" s="3" t="s">
        <v>16</v>
      </c>
      <c r="D15" s="3">
        <v>4</v>
      </c>
      <c r="E15" s="3">
        <v>2132</v>
      </c>
      <c r="F15" s="3" t="s">
        <v>17</v>
      </c>
      <c r="G15" s="3" t="s">
        <v>30</v>
      </c>
      <c r="H15" s="3" t="s">
        <v>31</v>
      </c>
      <c r="I15" s="3" t="s">
        <v>20</v>
      </c>
      <c r="J15" s="3" t="s">
        <v>26</v>
      </c>
      <c r="K15" s="3" t="s">
        <v>67</v>
      </c>
      <c r="L15" s="4"/>
      <c r="M15" s="4"/>
      <c r="N15" s="4"/>
    </row>
    <row r="16" spans="1:14" ht="23.25" customHeight="1" x14ac:dyDescent="0.2">
      <c r="A16" s="3" t="s">
        <v>68</v>
      </c>
      <c r="B16" s="3" t="s">
        <v>69</v>
      </c>
      <c r="C16" s="3" t="s">
        <v>16</v>
      </c>
      <c r="D16" s="3">
        <v>3</v>
      </c>
      <c r="E16" s="3">
        <v>2085</v>
      </c>
      <c r="F16" s="3" t="s">
        <v>17</v>
      </c>
      <c r="G16" s="3" t="s">
        <v>18</v>
      </c>
      <c r="H16" s="3" t="s">
        <v>31</v>
      </c>
      <c r="I16" s="3" t="s">
        <v>20</v>
      </c>
      <c r="J16" s="3" t="s">
        <v>26</v>
      </c>
      <c r="K16" s="3" t="s">
        <v>57</v>
      </c>
      <c r="L16" s="4"/>
      <c r="M16" s="4"/>
      <c r="N16" s="4"/>
    </row>
    <row r="17" spans="1:14" ht="23.25" customHeight="1" x14ac:dyDescent="0.2">
      <c r="A17" s="3" t="s">
        <v>70</v>
      </c>
      <c r="B17" s="3" t="s">
        <v>71</v>
      </c>
      <c r="C17" s="3" t="s">
        <v>16</v>
      </c>
      <c r="D17" s="3">
        <v>11</v>
      </c>
      <c r="E17" s="3">
        <v>2811</v>
      </c>
      <c r="F17" s="3" t="s">
        <v>17</v>
      </c>
      <c r="G17" s="3" t="s">
        <v>30</v>
      </c>
      <c r="H17" s="3" t="s">
        <v>31</v>
      </c>
      <c r="I17" s="3" t="s">
        <v>20</v>
      </c>
      <c r="J17" s="3" t="s">
        <v>26</v>
      </c>
      <c r="K17" s="3" t="s">
        <v>72</v>
      </c>
      <c r="L17" s="4"/>
      <c r="M17" s="4"/>
      <c r="N17" s="4"/>
    </row>
    <row r="18" spans="1:14" ht="23.25" customHeight="1" x14ac:dyDescent="0.2">
      <c r="A18" s="3" t="s">
        <v>73</v>
      </c>
      <c r="B18" s="3" t="s">
        <v>74</v>
      </c>
      <c r="C18" s="3" t="s">
        <v>16</v>
      </c>
      <c r="D18" s="3">
        <v>2</v>
      </c>
      <c r="E18" s="3">
        <v>2046</v>
      </c>
      <c r="F18" s="3" t="s">
        <v>17</v>
      </c>
      <c r="G18" s="3" t="s">
        <v>18</v>
      </c>
      <c r="H18" s="3" t="s">
        <v>31</v>
      </c>
      <c r="I18" s="3" t="s">
        <v>20</v>
      </c>
      <c r="J18" s="3" t="s">
        <v>26</v>
      </c>
      <c r="K18" s="3" t="s">
        <v>57</v>
      </c>
      <c r="L18" s="4"/>
      <c r="M18" s="4"/>
      <c r="N18" s="4"/>
    </row>
    <row r="19" spans="1:14" ht="23.25" customHeight="1" x14ac:dyDescent="0.2">
      <c r="A19" s="3" t="s">
        <v>75</v>
      </c>
      <c r="B19" s="3" t="s">
        <v>76</v>
      </c>
      <c r="C19" s="3" t="s">
        <v>16</v>
      </c>
      <c r="D19" s="3">
        <v>3</v>
      </c>
      <c r="E19" s="3">
        <v>2454</v>
      </c>
      <c r="F19" s="3" t="s">
        <v>17</v>
      </c>
      <c r="G19" s="3" t="s">
        <v>18</v>
      </c>
      <c r="H19" s="3" t="s">
        <v>31</v>
      </c>
      <c r="I19" s="3" t="s">
        <v>20</v>
      </c>
      <c r="J19" s="3" t="s">
        <v>26</v>
      </c>
      <c r="K19" s="3" t="s">
        <v>60</v>
      </c>
      <c r="L19" s="4"/>
      <c r="M19" s="4"/>
      <c r="N19" s="4"/>
    </row>
    <row r="20" spans="1:14" ht="23.25" customHeight="1" x14ac:dyDescent="0.2">
      <c r="A20" s="3" t="s">
        <v>77</v>
      </c>
      <c r="B20" s="3" t="s">
        <v>78</v>
      </c>
      <c r="C20" s="3" t="s">
        <v>16</v>
      </c>
      <c r="D20" s="3">
        <v>2</v>
      </c>
      <c r="E20" s="3">
        <v>1714</v>
      </c>
      <c r="F20" s="3" t="s">
        <v>17</v>
      </c>
      <c r="G20" s="3" t="s">
        <v>18</v>
      </c>
      <c r="H20" s="3" t="s">
        <v>31</v>
      </c>
      <c r="I20" s="3" t="s">
        <v>20</v>
      </c>
      <c r="J20" s="3" t="s">
        <v>26</v>
      </c>
      <c r="K20" s="3" t="s">
        <v>79</v>
      </c>
      <c r="L20" s="4"/>
      <c r="M20" s="4"/>
      <c r="N20" s="4"/>
    </row>
    <row r="21" spans="1:14" ht="23.25" customHeight="1" x14ac:dyDescent="0.2">
      <c r="A21" s="3" t="s">
        <v>80</v>
      </c>
      <c r="B21" s="3" t="s">
        <v>81</v>
      </c>
      <c r="C21" s="3" t="s">
        <v>16</v>
      </c>
      <c r="D21" s="3">
        <v>11</v>
      </c>
      <c r="E21" s="3">
        <v>1645</v>
      </c>
      <c r="F21" s="3" t="s">
        <v>17</v>
      </c>
      <c r="G21" s="3" t="s">
        <v>18</v>
      </c>
      <c r="H21" s="3" t="s">
        <v>82</v>
      </c>
      <c r="I21" s="3" t="s">
        <v>20</v>
      </c>
      <c r="J21" s="3" t="s">
        <v>83</v>
      </c>
      <c r="K21" s="3" t="s">
        <v>84</v>
      </c>
      <c r="L21" s="4"/>
      <c r="M21" s="4"/>
      <c r="N21" s="4"/>
    </row>
    <row r="22" spans="1:14" ht="23.25" customHeight="1" x14ac:dyDescent="0.2">
      <c r="A22" s="3" t="s">
        <v>85</v>
      </c>
      <c r="B22" s="3" t="s">
        <v>86</v>
      </c>
      <c r="C22" s="3" t="s">
        <v>16</v>
      </c>
      <c r="D22" s="3">
        <v>2</v>
      </c>
      <c r="E22" s="3">
        <v>1904</v>
      </c>
      <c r="F22" s="3" t="s">
        <v>17</v>
      </c>
      <c r="G22" s="3" t="s">
        <v>18</v>
      </c>
      <c r="H22" s="3" t="s">
        <v>31</v>
      </c>
      <c r="I22" s="3" t="s">
        <v>20</v>
      </c>
      <c r="J22" s="3" t="s">
        <v>26</v>
      </c>
      <c r="K22" s="3" t="s">
        <v>87</v>
      </c>
      <c r="L22" s="4"/>
      <c r="M22" s="4"/>
      <c r="N22" s="4"/>
    </row>
    <row r="23" spans="1:14" ht="34.5" customHeight="1" x14ac:dyDescent="0.2">
      <c r="A23" s="3" t="s">
        <v>88</v>
      </c>
      <c r="B23" s="3" t="s">
        <v>89</v>
      </c>
      <c r="C23" s="3" t="s">
        <v>16</v>
      </c>
      <c r="D23" s="3">
        <v>5</v>
      </c>
      <c r="E23" s="3">
        <v>2333</v>
      </c>
      <c r="F23" s="3" t="s">
        <v>17</v>
      </c>
      <c r="G23" s="3" t="s">
        <v>30</v>
      </c>
      <c r="H23" s="3" t="s">
        <v>31</v>
      </c>
      <c r="I23" s="3" t="s">
        <v>20</v>
      </c>
      <c r="J23" s="3" t="s">
        <v>32</v>
      </c>
      <c r="K23" s="3" t="s">
        <v>90</v>
      </c>
      <c r="L23" s="4"/>
      <c r="M23" s="4"/>
      <c r="N23" s="4"/>
    </row>
    <row r="24" spans="1:14" ht="23.25" customHeight="1" x14ac:dyDescent="0.2">
      <c r="A24" s="3" t="s">
        <v>91</v>
      </c>
      <c r="B24" s="3" t="s">
        <v>92</v>
      </c>
      <c r="C24" s="3" t="s">
        <v>16</v>
      </c>
      <c r="D24" s="3">
        <v>7</v>
      </c>
      <c r="E24" s="3">
        <v>1606</v>
      </c>
      <c r="F24" s="3" t="s">
        <v>17</v>
      </c>
      <c r="G24" s="3" t="s">
        <v>18</v>
      </c>
      <c r="H24" s="3" t="s">
        <v>31</v>
      </c>
      <c r="I24" s="3" t="s">
        <v>20</v>
      </c>
      <c r="J24" s="3" t="s">
        <v>21</v>
      </c>
      <c r="K24" s="3" t="s">
        <v>93</v>
      </c>
      <c r="L24" s="4"/>
      <c r="M24" s="4"/>
      <c r="N24" s="4"/>
    </row>
    <row r="25" spans="1:14" ht="23.25" customHeight="1" x14ac:dyDescent="0.2">
      <c r="A25" s="3" t="s">
        <v>94</v>
      </c>
      <c r="B25" s="3" t="s">
        <v>95</v>
      </c>
      <c r="C25" s="3" t="s">
        <v>16</v>
      </c>
      <c r="D25" s="3">
        <v>3</v>
      </c>
      <c r="E25" s="3">
        <v>2854</v>
      </c>
      <c r="F25" s="3" t="s">
        <v>17</v>
      </c>
      <c r="G25" s="3" t="s">
        <v>18</v>
      </c>
      <c r="H25" s="3" t="s">
        <v>31</v>
      </c>
      <c r="I25" s="3" t="s">
        <v>20</v>
      </c>
      <c r="J25" s="3" t="s">
        <v>26</v>
      </c>
      <c r="K25" s="3" t="s">
        <v>96</v>
      </c>
      <c r="L25" s="4"/>
      <c r="M25" s="4"/>
      <c r="N25" s="4"/>
    </row>
    <row r="26" spans="1:14" ht="23.25" customHeight="1" x14ac:dyDescent="0.2">
      <c r="A26" s="3" t="s">
        <v>97</v>
      </c>
      <c r="B26" s="3" t="s">
        <v>98</v>
      </c>
      <c r="C26" s="3" t="s">
        <v>16</v>
      </c>
      <c r="D26" s="3">
        <v>9</v>
      </c>
      <c r="E26" s="3">
        <v>1943</v>
      </c>
      <c r="F26" s="3" t="s">
        <v>17</v>
      </c>
      <c r="G26" s="3" t="s">
        <v>18</v>
      </c>
      <c r="H26" s="3" t="s">
        <v>31</v>
      </c>
      <c r="I26" s="3" t="s">
        <v>20</v>
      </c>
      <c r="J26" s="3" t="s">
        <v>26</v>
      </c>
      <c r="K26" s="3" t="s">
        <v>99</v>
      </c>
      <c r="L26" s="4"/>
      <c r="M26" s="4"/>
      <c r="N26" s="4"/>
    </row>
    <row r="27" spans="1:14" ht="23.25" customHeight="1" x14ac:dyDescent="0.2">
      <c r="A27" s="3" t="s">
        <v>100</v>
      </c>
      <c r="B27" s="3" t="s">
        <v>101</v>
      </c>
      <c r="C27" s="3" t="s">
        <v>16</v>
      </c>
      <c r="D27" s="3">
        <v>4</v>
      </c>
      <c r="E27" s="3">
        <v>2905</v>
      </c>
      <c r="F27" s="3" t="s">
        <v>17</v>
      </c>
      <c r="G27" s="3" t="s">
        <v>18</v>
      </c>
      <c r="H27" s="3" t="s">
        <v>31</v>
      </c>
      <c r="I27" s="3" t="s">
        <v>20</v>
      </c>
      <c r="J27" s="3" t="s">
        <v>26</v>
      </c>
      <c r="K27" s="3" t="s">
        <v>102</v>
      </c>
      <c r="L27" s="4"/>
      <c r="M27" s="4"/>
      <c r="N27" s="4"/>
    </row>
    <row r="28" spans="1:14" ht="23.25" customHeight="1" x14ac:dyDescent="0.2">
      <c r="A28" s="3" t="s">
        <v>103</v>
      </c>
      <c r="B28" s="3" t="s">
        <v>104</v>
      </c>
      <c r="C28" s="3" t="s">
        <v>16</v>
      </c>
      <c r="D28" s="3">
        <v>6</v>
      </c>
      <c r="E28" s="3">
        <v>4797</v>
      </c>
      <c r="F28" s="3" t="s">
        <v>17</v>
      </c>
      <c r="G28" s="3" t="s">
        <v>18</v>
      </c>
      <c r="H28" s="3" t="s">
        <v>31</v>
      </c>
      <c r="I28" s="3" t="s">
        <v>20</v>
      </c>
      <c r="J28" s="3" t="s">
        <v>26</v>
      </c>
      <c r="K28" s="3" t="s">
        <v>105</v>
      </c>
      <c r="L28" s="4"/>
      <c r="M28" s="4"/>
      <c r="N28" s="4"/>
    </row>
    <row r="29" spans="1:14" ht="23.25" customHeight="1" x14ac:dyDescent="0.2">
      <c r="A29" s="3" t="s">
        <v>106</v>
      </c>
      <c r="B29" s="3" t="s">
        <v>107</v>
      </c>
      <c r="C29" s="3" t="s">
        <v>108</v>
      </c>
      <c r="D29" s="3"/>
      <c r="E29" s="3"/>
      <c r="F29" s="3" t="s">
        <v>109</v>
      </c>
      <c r="G29" s="3" t="s">
        <v>18</v>
      </c>
      <c r="H29" s="3" t="s">
        <v>110</v>
      </c>
      <c r="I29" s="5" t="s">
        <v>111</v>
      </c>
      <c r="J29" s="3" t="s">
        <v>112</v>
      </c>
      <c r="K29" s="3" t="s">
        <v>113</v>
      </c>
      <c r="L29" s="4"/>
      <c r="M29" s="4"/>
      <c r="N29" s="4"/>
    </row>
    <row r="30" spans="1:14" ht="23.25" customHeight="1" x14ac:dyDescent="0.2">
      <c r="A30" s="3" t="s">
        <v>114</v>
      </c>
      <c r="B30" s="3" t="s">
        <v>115</v>
      </c>
      <c r="C30" s="3" t="s">
        <v>16</v>
      </c>
      <c r="D30" s="3">
        <v>7</v>
      </c>
      <c r="E30" s="3">
        <v>2425</v>
      </c>
      <c r="F30" s="3" t="s">
        <v>17</v>
      </c>
      <c r="G30" s="3" t="s">
        <v>18</v>
      </c>
      <c r="H30" s="3" t="s">
        <v>116</v>
      </c>
      <c r="I30" s="3" t="s">
        <v>20</v>
      </c>
      <c r="J30" s="3" t="s">
        <v>83</v>
      </c>
      <c r="K30" s="3" t="s">
        <v>117</v>
      </c>
      <c r="L30" s="4"/>
      <c r="M30" s="4"/>
      <c r="N30" s="4"/>
    </row>
    <row r="31" spans="1:14" ht="23.25" customHeight="1" x14ac:dyDescent="0.2">
      <c r="A31" s="3" t="s">
        <v>118</v>
      </c>
      <c r="B31" s="3" t="s">
        <v>119</v>
      </c>
      <c r="C31" s="3" t="s">
        <v>108</v>
      </c>
      <c r="D31" s="3"/>
      <c r="E31" s="3"/>
      <c r="F31" s="3" t="s">
        <v>109</v>
      </c>
      <c r="G31" s="3" t="s">
        <v>18</v>
      </c>
      <c r="H31" s="3" t="s">
        <v>120</v>
      </c>
      <c r="I31" s="3" t="s">
        <v>20</v>
      </c>
      <c r="J31" s="3" t="s">
        <v>121</v>
      </c>
      <c r="K31" s="3" t="s">
        <v>122</v>
      </c>
      <c r="L31" s="4"/>
      <c r="M31" s="4"/>
      <c r="N31" s="4"/>
    </row>
  </sheetData>
  <autoFilter ref="A1:N3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zoomScaleNormal="100" workbookViewId="0"/>
  </sheetViews>
  <sheetFormatPr baseColWidth="10" defaultColWidth="8.6640625" defaultRowHeight="15" x14ac:dyDescent="0.2"/>
  <cols>
    <col min="1" max="1" width="52" customWidth="1"/>
    <col min="2" max="2" width="10" customWidth="1"/>
    <col min="3" max="3" width="80" customWidth="1"/>
  </cols>
  <sheetData>
    <row r="1" spans="1:3" ht="15" customHeight="1" x14ac:dyDescent="0.2">
      <c r="A1" s="6" t="s">
        <v>123</v>
      </c>
      <c r="B1" s="6" t="s">
        <v>124</v>
      </c>
      <c r="C1" s="6" t="s">
        <v>125</v>
      </c>
    </row>
    <row r="2" spans="1:3" ht="15" customHeight="1" x14ac:dyDescent="0.2">
      <c r="A2" s="7" t="s">
        <v>126</v>
      </c>
      <c r="B2" s="7">
        <f>COUNTA('Source Inventory'!A2:A31)</f>
        <v>30</v>
      </c>
      <c r="C2" s="7" t="s">
        <v>127</v>
      </c>
    </row>
    <row r="3" spans="1:3" ht="15" customHeight="1" x14ac:dyDescent="0.2">
      <c r="A3" s="7" t="s">
        <v>128</v>
      </c>
      <c r="B3" s="7">
        <f>B2</f>
        <v>30</v>
      </c>
      <c r="C3" s="7" t="s">
        <v>129</v>
      </c>
    </row>
    <row r="4" spans="1:3" ht="15" customHeight="1" x14ac:dyDescent="0.2">
      <c r="A4" s="7" t="s">
        <v>130</v>
      </c>
      <c r="B4" s="7">
        <f>B2-COUNTIF('Source Inventory'!H2:H31,"Evaluation material")</f>
        <v>29</v>
      </c>
      <c r="C4" s="7" t="s">
        <v>131</v>
      </c>
    </row>
    <row r="5" spans="1:3" ht="15" customHeight="1" x14ac:dyDescent="0.2">
      <c r="A5" s="7" t="s">
        <v>132</v>
      </c>
      <c r="B5" s="7">
        <f>COUNTIF('Source Inventory'!I2:I31,"Eligible*")</f>
        <v>0</v>
      </c>
      <c r="C5" s="7" t="s">
        <v>133</v>
      </c>
    </row>
    <row r="6" spans="1:3" ht="15" customHeight="1" x14ac:dyDescent="0.2">
      <c r="A6" s="7" t="s">
        <v>20</v>
      </c>
      <c r="B6" s="7">
        <f>COUNTIF('Source Inventory'!I2:I31,"Authority pending*")</f>
        <v>29</v>
      </c>
      <c r="C6" s="7" t="s">
        <v>134</v>
      </c>
    </row>
    <row r="7" spans="1:3" ht="15" customHeight="1" x14ac:dyDescent="0.2">
      <c r="A7" s="7" t="s">
        <v>135</v>
      </c>
      <c r="B7" s="7">
        <f>COUNTIF('Source Inventory'!F2:F31,"FAIL*")</f>
        <v>0</v>
      </c>
      <c r="C7" s="7" t="s">
        <v>136</v>
      </c>
    </row>
    <row r="8" spans="1:3" ht="15" customHeight="1" x14ac:dyDescent="0.2">
      <c r="A8" s="7" t="s">
        <v>137</v>
      </c>
      <c r="B8" s="7">
        <f>COUNTIF('Source Inventory'!I2:I31,"Excluded")</f>
        <v>1</v>
      </c>
      <c r="C8" s="7" t="s">
        <v>138</v>
      </c>
    </row>
    <row r="9" spans="1:3" ht="15" customHeight="1" x14ac:dyDescent="0.2">
      <c r="A9" s="7" t="s">
        <v>139</v>
      </c>
      <c r="B9" s="7">
        <f>COUNTIF('Source Inventory'!G2:G31,"Yes")</f>
        <v>8</v>
      </c>
      <c r="C9" s="7" t="s">
        <v>140</v>
      </c>
    </row>
    <row r="10" spans="1:3" ht="15" customHeight="1" x14ac:dyDescent="0.2">
      <c r="A10" s="7" t="s">
        <v>141</v>
      </c>
      <c r="B10" s="7">
        <f>COUNTIFS('Source Inventory'!G2:G31,"Yes",'Source Inventory'!I2:I31,"Eligible*")</f>
        <v>0</v>
      </c>
      <c r="C10" s="7" t="s">
        <v>142</v>
      </c>
    </row>
    <row r="11" spans="1:3" ht="15" customHeight="1" x14ac:dyDescent="0.2">
      <c r="A11" s="7" t="s">
        <v>143</v>
      </c>
      <c r="B11" s="7">
        <f>SUMPRODUCT(--(ISNUMBER(SEARCH("OD-0",'Source Inventory'!J2:J31))),--(ISNUMBER(SEARCH("OD-02",'Source Inventory'!J2:J31))+ISNUMBER(SEARCH("OD-03",'Source Inventory'!J2:J31))+ISNUMBER(SEARCH("OD-13",'Source Inventory'!J2:J31))&gt;0))</f>
        <v>8</v>
      </c>
      <c r="C11" s="7" t="s">
        <v>144</v>
      </c>
    </row>
    <row r="14" spans="1:3" ht="45" customHeight="1" x14ac:dyDescent="0.2">
      <c r="A14" s="1" t="s">
        <v>145</v>
      </c>
      <c r="B14" s="1"/>
      <c r="C14" s="1"/>
    </row>
  </sheetData>
  <mergeCells count="1"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Inventory</vt:lpstr>
      <vt:lpstr>Counts (ING-13)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Raphael Ribot</cp:lastModifiedBy>
  <cp:revision>0</cp:revision>
  <dcterms:created xsi:type="dcterms:W3CDTF">2026-10-10T18:27:42Z</dcterms:created>
  <dcterms:modified xsi:type="dcterms:W3CDTF">2026-10-25T17:18:24Z</dcterms:modified>
  <dc:language>en-US</dc:language>
</cp:coreProperties>
</file>